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ompany Profile" sheetId="2" state="visible" r:id="rId4"/>
    <sheet name="Risk Register" sheetId="3" state="visible" r:id="rId5"/>
    <sheet name="Gap Analysis" sheetId="4" state="visible" r:id="rId6"/>
    <sheet name="Executive Summar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<sst xmlns="http://schemas.openxmlformats.org/spreadsheetml/2006/main" count="241" uniqueCount="198">
  <si>
    <t xml:space="preserve">ISO 27001 Risk Assessment &amp; Gap Analysis — NYRA (Safety Technology Startup)</t>
  </si>
  <si>
    <t xml:space="preserve">Independent GRC project by Ayesha Wasim</t>
  </si>
  <si>
    <t xml:space="preserve">ABOUT THIS PROJECT</t>
  </si>
  <si>
    <t xml:space="preserve">A risk assessment and control gap analysis for NYRA, a fictional startup whose app helps people stay safe in unsafe places and checks documents for spam and fraud. NYRA has no formal security program. The project practices the core work of a GRC analyst: finding risks, scoring them, comparing the company against ISO/IEC 27001:2022 Annex A, and reporting to leadership.</t>
  </si>
  <si>
    <t xml:space="preserve">TABS</t>
  </si>
  <si>
    <t xml:space="preserve">1. Company Profile: the business, its data, systems and vendors.</t>
  </si>
  <si>
    <t xml:space="preserve">2. Risk Register: 15 risks, each scored Likelihood (1-3) x Impact (1-3). Score 6-9 = High, 3-5 = Medium, 1-2 = Low.</t>
  </si>
  <si>
    <t xml:space="preserve">3. Gap Analysis: 17 ISO 27001:2022 controls rated Missing or Partial, linked back to the risks.</t>
  </si>
  <si>
    <t xml:space="preserve">4. Executive Summary: a one-page summary and top-5 recommendations for leadership.</t>
  </si>
  <si>
    <t xml:space="preserve">NOTES</t>
  </si>
  <si>
    <t xml:space="preserve">The company, its risks and its control statuses are fictional and were designed for learning. Scores are analyst judgment based on the scenario.</t>
  </si>
  <si>
    <t xml:space="preserve">Company Profile</t>
  </si>
  <si>
    <t xml:space="preserve">Company Name</t>
  </si>
  <si>
    <t xml:space="preserve">NYRA (fictional startup concept)</t>
  </si>
  <si>
    <t xml:space="preserve">Industry</t>
  </si>
  <si>
    <t xml:space="preserve">Consumer safety technology — mobile app and web platform</t>
  </si>
  <si>
    <t xml:space="preserve">What NYRA Does</t>
  </si>
  <si>
    <t xml:space="preserve">1) Helps people stay safe in unsafe places: SOS alerts, live location sharing with trusted contacts, and warnings about risky areas. 2) Checks documents and messages for spam and fraud, such as fake job offers or fake rental agreements.</t>
  </si>
  <si>
    <t xml:space="preserve">Company Size</t>
  </si>
  <si>
    <t xml:space="preserve">~25 employees (early-stage startup)</t>
  </si>
  <si>
    <t xml:space="preserve">Customer Base</t>
  </si>
  <si>
    <t xml:space="preserve">~50,000 individual users in India, mainly students and young professionals</t>
  </si>
  <si>
    <t xml:space="preserve">Key Data Handled</t>
  </si>
  <si>
    <t xml:space="preserve">Live location, emergency contacts and phone numbers, audio and photos captured during SOS, uploaded documents (may contain ID or bank details), user reports of unsafe areas</t>
  </si>
  <si>
    <t xml:space="preserve">Infrastructure</t>
  </si>
  <si>
    <t xml:space="preserve">AWS cloud (Mumbai region), Android and iOS apps, team laptops (mix of company-owned and personal), Google Workspace</t>
  </si>
  <si>
    <t xml:space="preserve">Third-Party Vendors</t>
  </si>
  <si>
    <t xml:space="preserve">SMS/OTP provider, Google Maps API, AWS, a third-party AI document-analysis service, Firebase push notifications</t>
  </si>
  <si>
    <t xml:space="preserve">Compliance Drivers</t>
  </si>
  <si>
    <t xml:space="preserve">India's Digital Personal Data Protection (DPDP) Act, 2023; partner universities and organizations asking for security assurance; no formal ISMS in place yet</t>
  </si>
  <si>
    <t xml:space="preserve">NYRA is a fictional startup concept created for this project. All figures and details are illustrative.</t>
  </si>
  <si>
    <t xml:space="preserve">Risk ID</t>
  </si>
  <si>
    <t xml:space="preserve">Risk Description</t>
  </si>
  <si>
    <t xml:space="preserve">Category</t>
  </si>
  <si>
    <t xml:space="preserve">Likelihood
(1-3)</t>
  </si>
  <si>
    <t xml:space="preserve">Impact
(1-3)</t>
  </si>
  <si>
    <t xml:space="preserve">Risk Score
(L×I)</t>
  </si>
  <si>
    <t xml:space="preserve">Existing Controls</t>
  </si>
  <si>
    <t xml:space="preserve">Recommended Treatment</t>
  </si>
  <si>
    <t xml:space="preserve">Owner (fill in)</t>
  </si>
  <si>
    <t xml:space="preserve">R-01</t>
  </si>
  <si>
    <t xml:space="preserve">Live location history and SOS recordings are stored without encryption at rest and never deleted; a breach could reveal where users are or were</t>
  </si>
  <si>
    <t xml:space="preserve">Data Protection</t>
  </si>
  <si>
    <t xml:space="preserve">TLS in transit only; no retention limit</t>
  </si>
  <si>
    <t xml:space="preserve">Encrypt at rest (AES-256) and delete location history after a set period (e.g., 30 days)</t>
  </si>
  <si>
    <t xml:space="preserve">CTO</t>
  </si>
  <si>
    <t xml:space="preserve">R-02</t>
  </si>
  <si>
    <t xml:space="preserve">No multi-factor authentication on the admin dashboard, cloud console and email accounts</t>
  </si>
  <si>
    <t xml:space="preserve">Access Control</t>
  </si>
  <si>
    <t xml:space="preserve">Password-only login</t>
  </si>
  <si>
    <t xml:space="preserve">Enforce MFA on all admin, cloud and email accounts</t>
  </si>
  <si>
    <t xml:space="preserve">R-03</t>
  </si>
  <si>
    <t xml:space="preserve">User documents (which may contain ID or bank details) are sent to a third-party AI analysis service that has not been security- or privacy-reviewed</t>
  </si>
  <si>
    <t xml:space="preserve">Vendor Risk</t>
  </si>
  <si>
    <t xml:space="preserve">No vendor review or data processing agreement</t>
  </si>
  <si>
    <t xml:space="preserve">Review the vendor, sign a data processing agreement, remove sensitive fields before sending</t>
  </si>
  <si>
    <t xml:space="preserve">Privacy &amp; Compliance Lead</t>
  </si>
  <si>
    <t xml:space="preserve">R-04</t>
  </si>
  <si>
    <t xml:space="preserve">Live location sharing could be misused by a stalker or abuser to track someone without their knowledge or consent</t>
  </si>
  <si>
    <t xml:space="preserve">Sharing starts with a single tap; no periodic consent check</t>
  </si>
  <si>
    <t xml:space="preserve">Show a visible 'sharing active' indicator, re-confirm consent periodically, make stopping easy</t>
  </si>
  <si>
    <t xml:space="preserve">Product Manager</t>
  </si>
  <si>
    <t xml:space="preserve">R-05</t>
  </si>
  <si>
    <t xml:space="preserve">SOS alerts depend on a single SMS provider with no backup, so an outage could stop alerts reaching trusted contacts</t>
  </si>
  <si>
    <t xml:space="preserve">Business Continuity</t>
  </si>
  <si>
    <t xml:space="preserve">Single SMS provider; no failover</t>
  </si>
  <si>
    <t xml:space="preserve">Add a backup provider, in-app and push fallback, and uptime alerts on the SOS path</t>
  </si>
  <si>
    <t xml:space="preserve">R-06</t>
  </si>
  <si>
    <t xml:space="preserve">No written incident response or data-breach plan; the team is unsure who to notify or how fast</t>
  </si>
  <si>
    <t xml:space="preserve">Incident Management</t>
  </si>
  <si>
    <t xml:space="preserve">Informal, founder-led response only</t>
  </si>
  <si>
    <t xml:space="preserve">Write a breach response plan with roles, timelines and user/regulator notification steps</t>
  </si>
  <si>
    <t xml:space="preserve">Security Lead</t>
  </si>
  <si>
    <t xml:space="preserve">R-07</t>
  </si>
  <si>
    <t xml:space="preserve">Team uses personal laptops (BYOD) to reach production data with no endpoint protection or disk encryption</t>
  </si>
  <si>
    <t xml:space="preserve">Endpoint Security</t>
  </si>
  <si>
    <t xml:space="preserve">None</t>
  </si>
  <si>
    <t xml:space="preserve">Require disk encryption and endpoint protection on any device that touches company data</t>
  </si>
  <si>
    <t xml:space="preserve">R-08</t>
  </si>
  <si>
    <t xml:space="preserve">No security awareness or phishing training for staff</t>
  </si>
  <si>
    <t xml:space="preserve">Human Resources</t>
  </si>
  <si>
    <t xml:space="preserve">Run annual security awareness and phishing training</t>
  </si>
  <si>
    <t xml:space="preserve">Operations Manager</t>
  </si>
  <si>
    <t xml:space="preserve">R-09</t>
  </si>
  <si>
    <t xml:space="preserve">The spam-document checker may mark a scam document as safe (or a real one as fake), and users rely on its verdict</t>
  </si>
  <si>
    <t xml:space="preserve">Service Integrity</t>
  </si>
  <si>
    <t xml:space="preserve">Confidence score shown; no human review or accuracy testing</t>
  </si>
  <si>
    <t xml:space="preserve">Test accuracy regularly, show clear limits to users, add a way to report wrong results</t>
  </si>
  <si>
    <t xml:space="preserve">R-10</t>
  </si>
  <si>
    <t xml:space="preserve">User reports about unsafe places are not verified or moderated, so false or malicious reports could mislead users or harm others</t>
  </si>
  <si>
    <t xml:space="preserve">Add a report moderation queue and abuse reporting</t>
  </si>
  <si>
    <t xml:space="preserve">R-11</t>
  </si>
  <si>
    <t xml:space="preserve">API keys for maps and SMS are stored inside the mobile app, where they can be extracted and abused</t>
  </si>
  <si>
    <t xml:space="preserve">Application Security</t>
  </si>
  <si>
    <t xml:space="preserve">Default configuration; keys not restricted</t>
  </si>
  <si>
    <t xml:space="preserve">Move keys to the server, restrict them by app and quota, rotate regularly</t>
  </si>
  <si>
    <t xml:space="preserve">R-12</t>
  </si>
  <si>
    <t xml:space="preserve">SOS audio and photo recordings sit in a cloud storage bucket with overly broad access permissions</t>
  </si>
  <si>
    <t xml:space="preserve">Cloud Security</t>
  </si>
  <si>
    <t xml:space="preserve">Default AWS settings, never audited</t>
  </si>
  <si>
    <t xml:space="preserve">Audit bucket permissions, apply least privilege, block public access</t>
  </si>
  <si>
    <t xml:space="preserve">R-13</t>
  </si>
  <si>
    <t xml:space="preserve">No review of consent, privacy notice and data handling against India's DPDP Act</t>
  </si>
  <si>
    <t xml:space="preserve">Compliance</t>
  </si>
  <si>
    <t xml:space="preserve">Basic consent screen at sign-up; no formal review</t>
  </si>
  <si>
    <t xml:space="preserve">Review consent, purpose and data-rights handling against the DPDP Act and keep consent records</t>
  </si>
  <si>
    <t xml:space="preserve">R-14</t>
  </si>
  <si>
    <t xml:space="preserve">Support staff can view user locations and documents with no access logging or need-to-know limits</t>
  </si>
  <si>
    <t xml:space="preserve">Broad support-team access; no logging</t>
  </si>
  <si>
    <t xml:space="preserve">Limit access to what each role needs and log every view of user data</t>
  </si>
  <si>
    <t xml:space="preserve">Support Lead</t>
  </si>
  <si>
    <t xml:space="preserve">R-15</t>
  </si>
  <si>
    <t xml:space="preserve">Shared co-working office: laptops can be left unattended without a screen lock</t>
  </si>
  <si>
    <t xml:space="preserve">Physical Security</t>
  </si>
  <si>
    <t xml:space="preserve">Screen lock on most laptops</t>
  </si>
  <si>
    <t xml:space="preserve">Enforce automatic screen lock and a clear-desk rule</t>
  </si>
  <si>
    <t xml:space="preserve">Scoring: Likelihood/Impact = 1 (Low), 2 (Medium), 3 (High). Score = Likelihood × Impact.</t>
  </si>
  <si>
    <t xml:space="preserve">Risk Score: 6-9 = High (red)   3-5 = Medium (orange)   1-2 = Low (green)</t>
  </si>
  <si>
    <t xml:space="preserve">Yellow cells (Owner column) are for you to fill in — assign a realistic role/title.</t>
  </si>
  <si>
    <t xml:space="preserve">Annex A Control (ISO 27001:2022)</t>
  </si>
  <si>
    <t xml:space="preserve">Control Description</t>
  </si>
  <si>
    <t xml:space="preserve">Status</t>
  </si>
  <si>
    <t xml:space="preserve">Related Risk ID(s)</t>
  </si>
  <si>
    <t xml:space="preserve">Notes / Next Steps</t>
  </si>
  <si>
    <t xml:space="preserve">5.1 — Policies for information security</t>
  </si>
  <si>
    <t xml:space="preserve">Formal, documented information security policy approved by leadership</t>
  </si>
  <si>
    <t xml:space="preserve">Missing</t>
  </si>
  <si>
    <t xml:space="preserve">—</t>
  </si>
  <si>
    <t xml:space="preserve">No written security or privacy policies; draft a baseline policy for leadership sign-off</t>
  </si>
  <si>
    <t xml:space="preserve">5.2 — Information security roles and responsibilities</t>
  </si>
  <si>
    <t xml:space="preserve">Security roles and responsibilities defined and assigned</t>
  </si>
  <si>
    <t xml:space="preserve">Partial</t>
  </si>
  <si>
    <t xml:space="preserve">Founders handle security informally; no named security owner</t>
  </si>
  <si>
    <t xml:space="preserve">5.9 — Inventory of information and other associated assets</t>
  </si>
  <si>
    <t xml:space="preserve">Up-to-date inventory of information and the devices that hold it</t>
  </si>
  <si>
    <t xml:space="preserve">Personal laptops are not tracked or inventoried</t>
  </si>
  <si>
    <t xml:space="preserve">5.18 — Access rights</t>
  </si>
  <si>
    <t xml:space="preserve">Access limited to what each role needs and reviewed regularly</t>
  </si>
  <si>
    <t xml:space="preserve">Support staff have broad access; no periodic review</t>
  </si>
  <si>
    <t xml:space="preserve">5.19 — Information security in supplier relationships</t>
  </si>
  <si>
    <t xml:space="preserve">Security requirements agreed and assessed for suppliers</t>
  </si>
  <si>
    <t xml:space="preserve">No review of the AI document service or SMS vendor</t>
  </si>
  <si>
    <t xml:space="preserve">5.23 — Information security for use of cloud services</t>
  </si>
  <si>
    <t xml:space="preserve">Cloud services acquired, used and managed securely</t>
  </si>
  <si>
    <t xml:space="preserve">AWS default settings; bucket permissions never audited</t>
  </si>
  <si>
    <t xml:space="preserve">5.24 — Incident management planning and preparation</t>
  </si>
  <si>
    <t xml:space="preserve">Documented incident management process, roles and responsibilities</t>
  </si>
  <si>
    <t xml:space="preserve">No incident or data-breach response plan</t>
  </si>
  <si>
    <t xml:space="preserve">5.30 — ICT readiness for business continuity</t>
  </si>
  <si>
    <t xml:space="preserve">Systems ready to keep critical services running during disruption</t>
  </si>
  <si>
    <t xml:space="preserve">SOS depends on a single SMS provider with no failover</t>
  </si>
  <si>
    <t xml:space="preserve">5.34 — Privacy and protection of PII</t>
  </si>
  <si>
    <t xml:space="preserve">Personal data protected in line with law and consent</t>
  </si>
  <si>
    <t xml:space="preserve">R-01, R-04, R-13</t>
  </si>
  <si>
    <t xml:space="preserve">Consent screen exists; no retention limits, misuse safeguards or DPDP Act review</t>
  </si>
  <si>
    <t xml:space="preserve">6.3 — Information security awareness, education and training</t>
  </si>
  <si>
    <t xml:space="preserve">Staff receive regular security awareness training</t>
  </si>
  <si>
    <t xml:space="preserve">No training program in place</t>
  </si>
  <si>
    <t xml:space="preserve">7.7 — Clear desk and clear screen</t>
  </si>
  <si>
    <t xml:space="preserve">Screens locked and desks cleared when unattended</t>
  </si>
  <si>
    <t xml:space="preserve">Screen lock on most laptops; no written rule</t>
  </si>
  <si>
    <t xml:space="preserve">8.1 — User endpoint devices</t>
  </si>
  <si>
    <t xml:space="preserve">Information on user devices protected (including personal devices)</t>
  </si>
  <si>
    <t xml:space="preserve">No endpoint protection or disk encryption on personal laptops</t>
  </si>
  <si>
    <t xml:space="preserve">8.5 — Secure authentication</t>
  </si>
  <si>
    <t xml:space="preserve">Strong authentication (such as MFA) for system access</t>
  </si>
  <si>
    <t xml:space="preserve">Password-only login for admin, cloud and email accounts</t>
  </si>
  <si>
    <t xml:space="preserve">8.10 — Information deletion</t>
  </si>
  <si>
    <t xml:space="preserve">Information deleted when no longer required</t>
  </si>
  <si>
    <t xml:space="preserve">Location history and SOS recordings are never deleted</t>
  </si>
  <si>
    <t xml:space="preserve">8.15 — Logging</t>
  </si>
  <si>
    <t xml:space="preserve">Logs kept of who accessed sensitive data</t>
  </si>
  <si>
    <t xml:space="preserve">No record of who views user locations or documents</t>
  </si>
  <si>
    <t xml:space="preserve">8.24 — Use of cryptography</t>
  </si>
  <si>
    <t xml:space="preserve">Cryptography used to protect data at rest and in transit</t>
  </si>
  <si>
    <t xml:space="preserve">R-01, R-12</t>
  </si>
  <si>
    <t xml:space="preserve">TLS in transit is in place; encryption at rest is missing</t>
  </si>
  <si>
    <t xml:space="preserve">8.28 — Secure coding</t>
  </si>
  <si>
    <t xml:space="preserve">Secure coding practices applied to software</t>
  </si>
  <si>
    <t xml:space="preserve">API keys are embedded in the mobile app</t>
  </si>
  <si>
    <t xml:space="preserve">Mapped to ISO/IEC 27001:2022 Annex A (93 controls in 4 themes: 5 Organizational, 6 People, 7 Physical, 8 Technological). Rows shown are the controls relevant to the 15 risks.</t>
  </si>
  <si>
    <t xml:space="preserve">Status is an analyst judgment based on the fictional NYRA scenario: Missing = no control, Partial = control exists but incomplete.</t>
  </si>
  <si>
    <t xml:space="preserve">R-09 (document-checker accuracy) and R-10 (unverified user reports) are product-specific risks with no matching Annex A control; they are covered in the Risk Register only.</t>
  </si>
  <si>
    <t xml:space="preserve">Executive Summary — Information Security Risk Assessment</t>
  </si>
  <si>
    <t xml:space="preserve">Prepared for: NYRA Leadership Team  |  Prepared by: Ayesha Wasim  |  Standard: ISO/IEC 27001:2022</t>
  </si>
  <si>
    <t xml:space="preserve">PURPOSE AND SCOPE</t>
  </si>
  <si>
    <t xml:space="preserve">NYRA is an early-stage safety technology company. Its app helps people stay safe in unsafe places (SOS alerts, live location sharing, area warnings) and checks documents and messages for spam and fraud. Because NYRA handles live locations, emergency contacts and identity documents, a security failure could put users at physical risk, not just expose data. This assessment shows where NYRA stands today against the ISO/IEC 27001:2022 Annex A controls, which risks matter most, and what to fix first. It covers the cloud platform, mobile apps, employee devices, key vendors and user data.</t>
  </si>
  <si>
    <t xml:space="preserve">KEY FINDINGS</t>
  </si>
  <si>
    <t xml:space="preserve">The most serious exposure is around location data and admin access. Admin and cloud accounts have no multi-factor authentication (the highest-scoring risk), live location and SOS recordings are stored without encryption at rest or a deletion schedule, and there is no written plan for a data breach. For a safety product these matter most, because leaked location data could help someone find and harm a user. User documents are also sent to an outside AI service that has not been reviewed.</t>
  </si>
  <si>
    <t xml:space="preserve">PRIORITY RECOMMENDATIONS (IN ORDER)</t>
  </si>
  <si>
    <t xml:space="preserve">1. Turn on multi-factor authentication for all admin, cloud and email accounts (Owner: CTO). It is the highest risk score in the register and a low-cost settings change.</t>
  </si>
  <si>
    <t xml:space="preserve">2. Encrypt location data and SOS recordings at rest and set a deletion schedule (Owner: CTO). This reduces what an attacker could steal and supports compliance with India's DPDP Act.</t>
  </si>
  <si>
    <t xml:space="preserve">3. Write and approve a data-breach and incident response plan (Owner: Security Lead). The team needs to know who to call and what to tell users and the regulator before something happens.</t>
  </si>
  <si>
    <t xml:space="preserve">4. Review the AI document-analysis vendor and other suppliers, and remove sensitive fields before documents are sent (Owner: Privacy &amp; Compliance Lead).</t>
  </si>
  <si>
    <t xml:space="preserve">5. Lock down access: audit the recordings bucket permissions and log who views user data (Owners: CTO, Support Lead).</t>
  </si>
  <si>
    <t xml:space="preserve">NEXT STEPS</t>
  </si>
  <si>
    <t xml:space="preserve">With leadership approval, all five actions can be completed within one quarter, starting with actions 1-3. NYRA should then write its core security and privacy policies, test the SOS alert path end to end, and repeat this assessment to measure progress. This also prepares the company for questions from partner universities and organizations and for formal ISO 27001 preparation.</t>
  </si>
  <si>
    <t xml:space="preserve">Figures in this summary are calculated from the Risk Register and Gap Analysis tabs, so they update if those tabs change. NYRA is a fictional startup concept created for this project.</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</si>
</sst>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55555"/>
      <name val="Arial"/>
      <family val="0"/>
      <charset val="1"/>
    </font>
    <font>
      <sz val="10"/>
      <name val="Arial"/>
      <family val="0"/>
      <charset val="1"/>
    </font>
    <font>
      <b val="true"/>
      <sz val="10"/>
      <color rgb="FF1F3864"/>
      <name val="Arial"/>
      <family val="0"/>
      <charset val="1"/>
    </font>
    <font>
      <b val="true"/>
      <sz val="10"/>
      <name val="Arial"/>
      <family val="0"/>
      <charset val="1"/>
    </font>
    <font>
      <b val="true"/>
      <sz val="11"/>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4CCCC"/>
        <bgColor rgb="FFFCE5CD"/>
      </patternFill>
    </fill>
    <fill>
      <patternFill patternType="solid">
        <fgColor rgb="FFFCE5CD"/>
        <bgColor rgb="FFF4CC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4CCCC"/>
        </patternFill>
      </fill>
    </dxf>
    <dxf>
      <fill>
        <patternFill>
          <bgColor rgb="FFFCE5CD"/>
        </patternFill>
      </fill>
    </dxf>
    <dxf>
      <fill>
        <patternFill>
          <bgColor rgb="FFC6E0B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5C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4CCCC"/>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0"/>
  </cols>
  <sheetData>
    <row r="1" customFormat="false" ht="35.8" hidden="false" customHeight="false" outlineLevel="0" collapsed="false">
      <c r="A1" s="2" t="s">
        <v>0</v>
      </c>
    </row>
    <row r="2" customFormat="false" ht="15" hidden="false" customHeight="false" outlineLevel="0" collapsed="false">
      <c r="A2" s="3" t="s">
        <v>1</v>
      </c>
    </row>
    <row r="3" customFormat="false" ht="15" hidden="false" customHeight="false" outlineLevel="0" collapsed="false">
      <c r="A3" s="4"/>
    </row>
    <row r="4" customFormat="false" ht="15" hidden="false" customHeight="false" outlineLevel="0" collapsed="false">
      <c r="A4" s="5" t="s">
        <v>2</v>
      </c>
    </row>
    <row r="5" customFormat="false" ht="57.75" hidden="false" customHeight="true" outlineLevel="0" collapsed="false">
      <c r="A5" s="4" t="s">
        <v>3</v>
      </c>
    </row>
    <row r="6" customFormat="false" ht="15" hidden="false" customHeight="false" outlineLevel="0" collapsed="false">
      <c r="A6" s="4"/>
    </row>
    <row r="7" customFormat="false" ht="15" hidden="false" customHeight="false" outlineLevel="0" collapsed="false">
      <c r="A7" s="5" t="s">
        <v>4</v>
      </c>
    </row>
    <row r="8" customFormat="false" ht="17.25" hidden="false" customHeight="true" outlineLevel="0" collapsed="false">
      <c r="A8" s="4" t="s">
        <v>5</v>
      </c>
    </row>
    <row r="9" customFormat="false" ht="30.75" hidden="false" customHeight="true" outlineLevel="0" collapsed="false">
      <c r="A9" s="4" t="s">
        <v>6</v>
      </c>
    </row>
    <row r="10" customFormat="false" ht="17.25" hidden="false" customHeight="true" outlineLevel="0" collapsed="false">
      <c r="A10" s="4" t="s">
        <v>7</v>
      </c>
    </row>
    <row r="11" customFormat="false" ht="17.25" hidden="false" customHeight="true" outlineLevel="0" collapsed="false">
      <c r="A11" s="4" t="s">
        <v>8</v>
      </c>
    </row>
    <row r="12" customFormat="false" ht="15" hidden="false" customHeight="false" outlineLevel="0" collapsed="false">
      <c r="A12" s="4"/>
    </row>
    <row r="13" customFormat="false" ht="15" hidden="false" customHeight="false" outlineLevel="0" collapsed="false">
      <c r="A13" s="5" t="s">
        <v>9</v>
      </c>
    </row>
    <row r="14" customFormat="false" ht="30.75" hidden="false" customHeight="true" outlineLevel="0" collapsed="false">
      <c r="A14" s="4" t="s">
        <v>10</v>
      </c>
    </row>
    <row r="15" customFormat="false" ht="15" hidden="false" customHeight="false" outlineLevel="0" collapsed="false">
      <c r="A15" s="6"/>
    </row>
    <row r="16" customFormat="false" ht="15" hidden="false" customHeight="false" outlineLevel="0" collapsed="false">
      <c r="A16" s="6"/>
    </row>
    <row r="17" customFormat="false" ht="15" hidden="false" customHeight="false" outlineLevel="0" collapsed="false">
      <c r="A17" s="6"/>
    </row>
    <row r="18" customFormat="false" ht="15" hidden="false" customHeight="false" outlineLevel="0" collapsed="false">
      <c r="A18" s="7"/>
    </row>
    <row r="19" customFormat="false" ht="15" hidden="false" customHeight="false" outlineLevel="0" collapsed="false">
      <c r="A19" s="6"/>
    </row>
    <row r="20" customFormat="false" ht="15" hidden="false" customHeight="false" outlineLevel="0" collapsed="false">
      <c r="A20"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80"/>
  </cols>
  <sheetData>
    <row r="1" customFormat="false" ht="19.5" hidden="false" customHeight="true" outlineLevel="0" collapsed="false">
      <c r="A1" s="8" t="s">
        <v>11</v>
      </c>
      <c r="B1" s="8"/>
    </row>
    <row r="3" customFormat="false" ht="21" hidden="false" customHeight="true" outlineLevel="0" collapsed="false">
      <c r="A3" s="9" t="s">
        <v>12</v>
      </c>
      <c r="B3" s="4" t="s">
        <v>13</v>
      </c>
    </row>
    <row r="4" customFormat="false" ht="21" hidden="false" customHeight="true" outlineLevel="0" collapsed="false">
      <c r="A4" s="9" t="s">
        <v>14</v>
      </c>
      <c r="B4" s="4" t="s">
        <v>15</v>
      </c>
    </row>
    <row r="5" customFormat="false" ht="48" hidden="false" customHeight="true" outlineLevel="0" collapsed="false">
      <c r="A5" s="9" t="s">
        <v>16</v>
      </c>
      <c r="B5" s="4" t="s">
        <v>17</v>
      </c>
    </row>
    <row r="6" customFormat="false" ht="21" hidden="false" customHeight="true" outlineLevel="0" collapsed="false">
      <c r="A6" s="9" t="s">
        <v>18</v>
      </c>
      <c r="B6" s="4" t="s">
        <v>19</v>
      </c>
    </row>
    <row r="7" customFormat="false" ht="21" hidden="false" customHeight="true" outlineLevel="0" collapsed="false">
      <c r="A7" s="9" t="s">
        <v>20</v>
      </c>
      <c r="B7" s="4" t="s">
        <v>21</v>
      </c>
    </row>
    <row r="8" customFormat="false" ht="34.5" hidden="false" customHeight="true" outlineLevel="0" collapsed="false">
      <c r="A8" s="9" t="s">
        <v>22</v>
      </c>
      <c r="B8" s="4" t="s">
        <v>23</v>
      </c>
    </row>
    <row r="9" customFormat="false" ht="34.5" hidden="false" customHeight="true" outlineLevel="0" collapsed="false">
      <c r="A9" s="9" t="s">
        <v>24</v>
      </c>
      <c r="B9" s="4" t="s">
        <v>25</v>
      </c>
    </row>
    <row r="10" customFormat="false" ht="34.5" hidden="false" customHeight="true" outlineLevel="0" collapsed="false">
      <c r="A10" s="9" t="s">
        <v>26</v>
      </c>
      <c r="B10" s="4" t="s">
        <v>27</v>
      </c>
    </row>
    <row r="11" customFormat="false" ht="34.5" hidden="false" customHeight="true" outlineLevel="0" collapsed="false">
      <c r="A11" s="9" t="s">
        <v>28</v>
      </c>
      <c r="B11" s="4" t="s">
        <v>29</v>
      </c>
    </row>
    <row r="12" customFormat="false" ht="15" hidden="false" customHeight="true" outlineLevel="0" collapsed="false">
      <c r="A12" s="10"/>
    </row>
    <row r="13" customFormat="false" ht="15" hidden="false" customHeight="false" outlineLevel="0" collapsed="false">
      <c r="A13" s="11" t="s">
        <v>30</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6"/>
    <col collapsed="false" customWidth="true" hidden="false" outlineLevel="0" max="3" min="3" style="1" width="16"/>
    <col collapsed="false" customWidth="true" hidden="false" outlineLevel="0" max="6" min="4" style="1" width="10"/>
    <col collapsed="false" customWidth="true" hidden="false" outlineLevel="0" max="7" min="7" style="1" width="30"/>
    <col collapsed="false" customWidth="true" hidden="false" outlineLevel="0" max="8" min="8" style="1" width="40"/>
    <col collapsed="false" customWidth="true" hidden="false" outlineLevel="0" max="9" min="9" style="1" width="20"/>
  </cols>
  <sheetData>
    <row r="1" customFormat="false" ht="33.75" hidden="false" customHeight="true" outlineLevel="0" collapsed="false">
      <c r="A1" s="12" t="s">
        <v>31</v>
      </c>
      <c r="B1" s="12" t="s">
        <v>32</v>
      </c>
      <c r="C1" s="12" t="s">
        <v>33</v>
      </c>
      <c r="D1" s="12" t="s">
        <v>34</v>
      </c>
      <c r="E1" s="12" t="s">
        <v>35</v>
      </c>
      <c r="F1" s="12" t="s">
        <v>36</v>
      </c>
      <c r="G1" s="12" t="s">
        <v>37</v>
      </c>
      <c r="H1" s="12" t="s">
        <v>38</v>
      </c>
      <c r="I1" s="12" t="s">
        <v>39</v>
      </c>
    </row>
    <row r="2" customFormat="false" ht="48" hidden="false" customHeight="true" outlineLevel="0" collapsed="false">
      <c r="A2" s="13" t="s">
        <v>40</v>
      </c>
      <c r="B2" s="13" t="s">
        <v>41</v>
      </c>
      <c r="C2" s="13" t="s">
        <v>42</v>
      </c>
      <c r="D2" s="13" t="n">
        <v>2</v>
      </c>
      <c r="E2" s="13" t="n">
        <v>3</v>
      </c>
      <c r="F2" s="14" t="n">
        <f aca="false">D2*E2</f>
        <v>6</v>
      </c>
      <c r="G2" s="13" t="s">
        <v>43</v>
      </c>
      <c r="H2" s="13" t="s">
        <v>44</v>
      </c>
      <c r="I2" s="15" t="s">
        <v>45</v>
      </c>
    </row>
    <row r="3" customFormat="false" ht="34.5" hidden="false" customHeight="true" outlineLevel="0" collapsed="false">
      <c r="A3" s="13" t="s">
        <v>46</v>
      </c>
      <c r="B3" s="13" t="s">
        <v>47</v>
      </c>
      <c r="C3" s="13" t="s">
        <v>48</v>
      </c>
      <c r="D3" s="13" t="n">
        <v>3</v>
      </c>
      <c r="E3" s="13" t="n">
        <v>3</v>
      </c>
      <c r="F3" s="14" t="n">
        <f aca="false">D3*E3</f>
        <v>9</v>
      </c>
      <c r="G3" s="13" t="s">
        <v>49</v>
      </c>
      <c r="H3" s="13" t="s">
        <v>50</v>
      </c>
      <c r="I3" s="15" t="s">
        <v>45</v>
      </c>
    </row>
    <row r="4" customFormat="false" ht="48" hidden="false" customHeight="true" outlineLevel="0" collapsed="false">
      <c r="A4" s="13" t="s">
        <v>51</v>
      </c>
      <c r="B4" s="13" t="s">
        <v>52</v>
      </c>
      <c r="C4" s="13" t="s">
        <v>53</v>
      </c>
      <c r="D4" s="13" t="n">
        <v>2</v>
      </c>
      <c r="E4" s="13" t="n">
        <v>3</v>
      </c>
      <c r="F4" s="14" t="n">
        <f aca="false">D4*E4</f>
        <v>6</v>
      </c>
      <c r="G4" s="13" t="s">
        <v>54</v>
      </c>
      <c r="H4" s="13" t="s">
        <v>55</v>
      </c>
      <c r="I4" s="15" t="s">
        <v>56</v>
      </c>
    </row>
    <row r="5" customFormat="false" ht="48" hidden="false" customHeight="true" outlineLevel="0" collapsed="false">
      <c r="A5" s="13" t="s">
        <v>57</v>
      </c>
      <c r="B5" s="13" t="s">
        <v>58</v>
      </c>
      <c r="C5" s="13" t="s">
        <v>42</v>
      </c>
      <c r="D5" s="13" t="n">
        <v>2</v>
      </c>
      <c r="E5" s="13" t="n">
        <v>3</v>
      </c>
      <c r="F5" s="14" t="n">
        <f aca="false">D5*E5</f>
        <v>6</v>
      </c>
      <c r="G5" s="13" t="s">
        <v>59</v>
      </c>
      <c r="H5" s="13" t="s">
        <v>60</v>
      </c>
      <c r="I5" s="15" t="s">
        <v>61</v>
      </c>
    </row>
    <row r="6" customFormat="false" ht="48" hidden="false" customHeight="true" outlineLevel="0" collapsed="false">
      <c r="A6" s="13" t="s">
        <v>62</v>
      </c>
      <c r="B6" s="13" t="s">
        <v>63</v>
      </c>
      <c r="C6" s="13" t="s">
        <v>64</v>
      </c>
      <c r="D6" s="13" t="n">
        <v>2</v>
      </c>
      <c r="E6" s="13" t="n">
        <v>3</v>
      </c>
      <c r="F6" s="14" t="n">
        <f aca="false">D6*E6</f>
        <v>6</v>
      </c>
      <c r="G6" s="13" t="s">
        <v>65</v>
      </c>
      <c r="H6" s="13" t="s">
        <v>66</v>
      </c>
      <c r="I6" s="15" t="s">
        <v>45</v>
      </c>
    </row>
    <row r="7" customFormat="false" ht="34.5" hidden="false" customHeight="true" outlineLevel="0" collapsed="false">
      <c r="A7" s="13" t="s">
        <v>67</v>
      </c>
      <c r="B7" s="13" t="s">
        <v>68</v>
      </c>
      <c r="C7" s="13" t="s">
        <v>69</v>
      </c>
      <c r="D7" s="13" t="n">
        <v>2</v>
      </c>
      <c r="E7" s="13" t="n">
        <v>3</v>
      </c>
      <c r="F7" s="14" t="n">
        <f aca="false">D7*E7</f>
        <v>6</v>
      </c>
      <c r="G7" s="13" t="s">
        <v>70</v>
      </c>
      <c r="H7" s="13" t="s">
        <v>71</v>
      </c>
      <c r="I7" s="15" t="s">
        <v>72</v>
      </c>
    </row>
    <row r="8" customFormat="false" ht="48" hidden="false" customHeight="true" outlineLevel="0" collapsed="false">
      <c r="A8" s="13" t="s">
        <v>73</v>
      </c>
      <c r="B8" s="13" t="s">
        <v>74</v>
      </c>
      <c r="C8" s="13" t="s">
        <v>75</v>
      </c>
      <c r="D8" s="13" t="n">
        <v>2</v>
      </c>
      <c r="E8" s="13" t="n">
        <v>2</v>
      </c>
      <c r="F8" s="14" t="n">
        <f aca="false">D8*E8</f>
        <v>4</v>
      </c>
      <c r="G8" s="13" t="s">
        <v>76</v>
      </c>
      <c r="H8" s="13" t="s">
        <v>77</v>
      </c>
      <c r="I8" s="15" t="s">
        <v>72</v>
      </c>
    </row>
    <row r="9" customFormat="false" ht="34.5" hidden="false" customHeight="true" outlineLevel="0" collapsed="false">
      <c r="A9" s="13" t="s">
        <v>78</v>
      </c>
      <c r="B9" s="13" t="s">
        <v>79</v>
      </c>
      <c r="C9" s="13" t="s">
        <v>80</v>
      </c>
      <c r="D9" s="13" t="n">
        <v>2</v>
      </c>
      <c r="E9" s="13" t="n">
        <v>2</v>
      </c>
      <c r="F9" s="14" t="n">
        <f aca="false">D9*E9</f>
        <v>4</v>
      </c>
      <c r="G9" s="13" t="s">
        <v>76</v>
      </c>
      <c r="H9" s="13" t="s">
        <v>81</v>
      </c>
      <c r="I9" s="15" t="s">
        <v>82</v>
      </c>
    </row>
    <row r="10" customFormat="false" ht="48" hidden="false" customHeight="true" outlineLevel="0" collapsed="false">
      <c r="A10" s="13" t="s">
        <v>83</v>
      </c>
      <c r="B10" s="13" t="s">
        <v>84</v>
      </c>
      <c r="C10" s="13" t="s">
        <v>85</v>
      </c>
      <c r="D10" s="13" t="n">
        <v>2</v>
      </c>
      <c r="E10" s="13" t="n">
        <v>2</v>
      </c>
      <c r="F10" s="14" t="n">
        <f aca="false">D10*E10</f>
        <v>4</v>
      </c>
      <c r="G10" s="13" t="s">
        <v>86</v>
      </c>
      <c r="H10" s="13" t="s">
        <v>87</v>
      </c>
      <c r="I10" s="15" t="s">
        <v>61</v>
      </c>
    </row>
    <row r="11" customFormat="false" ht="48" hidden="false" customHeight="true" outlineLevel="0" collapsed="false">
      <c r="A11" s="13" t="s">
        <v>88</v>
      </c>
      <c r="B11" s="13" t="s">
        <v>89</v>
      </c>
      <c r="C11" s="13" t="s">
        <v>85</v>
      </c>
      <c r="D11" s="13" t="n">
        <v>3</v>
      </c>
      <c r="E11" s="13" t="n">
        <v>1</v>
      </c>
      <c r="F11" s="14" t="n">
        <f aca="false">D11*E11</f>
        <v>3</v>
      </c>
      <c r="G11" s="13" t="s">
        <v>76</v>
      </c>
      <c r="H11" s="13" t="s">
        <v>90</v>
      </c>
      <c r="I11" s="15" t="s">
        <v>82</v>
      </c>
    </row>
    <row r="12" customFormat="false" ht="34.5" hidden="false" customHeight="true" outlineLevel="0" collapsed="false">
      <c r="A12" s="13" t="s">
        <v>91</v>
      </c>
      <c r="B12" s="13" t="s">
        <v>92</v>
      </c>
      <c r="C12" s="13" t="s">
        <v>93</v>
      </c>
      <c r="D12" s="13" t="n">
        <v>2</v>
      </c>
      <c r="E12" s="13" t="n">
        <v>2</v>
      </c>
      <c r="F12" s="14" t="n">
        <f aca="false">D12*E12</f>
        <v>4</v>
      </c>
      <c r="G12" s="13" t="s">
        <v>94</v>
      </c>
      <c r="H12" s="13" t="s">
        <v>95</v>
      </c>
      <c r="I12" s="15" t="s">
        <v>45</v>
      </c>
    </row>
    <row r="13" customFormat="false" ht="34.5" hidden="false" customHeight="true" outlineLevel="0" collapsed="false">
      <c r="A13" s="13" t="s">
        <v>96</v>
      </c>
      <c r="B13" s="13" t="s">
        <v>97</v>
      </c>
      <c r="C13" s="13" t="s">
        <v>98</v>
      </c>
      <c r="D13" s="13" t="n">
        <v>2</v>
      </c>
      <c r="E13" s="13" t="n">
        <v>3</v>
      </c>
      <c r="F13" s="14" t="n">
        <f aca="false">D13*E13</f>
        <v>6</v>
      </c>
      <c r="G13" s="13" t="s">
        <v>99</v>
      </c>
      <c r="H13" s="13" t="s">
        <v>100</v>
      </c>
      <c r="I13" s="15" t="s">
        <v>45</v>
      </c>
    </row>
    <row r="14" customFormat="false" ht="48" hidden="false" customHeight="true" outlineLevel="0" collapsed="false">
      <c r="A14" s="13" t="s">
        <v>101</v>
      </c>
      <c r="B14" s="13" t="s">
        <v>102</v>
      </c>
      <c r="C14" s="13" t="s">
        <v>103</v>
      </c>
      <c r="D14" s="13" t="n">
        <v>2</v>
      </c>
      <c r="E14" s="13" t="n">
        <v>3</v>
      </c>
      <c r="F14" s="14" t="n">
        <f aca="false">D14*E14</f>
        <v>6</v>
      </c>
      <c r="G14" s="13" t="s">
        <v>104</v>
      </c>
      <c r="H14" s="13" t="s">
        <v>105</v>
      </c>
      <c r="I14" s="15" t="s">
        <v>56</v>
      </c>
    </row>
    <row r="15" customFormat="false" ht="34.5" hidden="false" customHeight="true" outlineLevel="0" collapsed="false">
      <c r="A15" s="13" t="s">
        <v>106</v>
      </c>
      <c r="B15" s="13" t="s">
        <v>107</v>
      </c>
      <c r="C15" s="13" t="s">
        <v>48</v>
      </c>
      <c r="D15" s="13" t="n">
        <v>1</v>
      </c>
      <c r="E15" s="13" t="n">
        <v>3</v>
      </c>
      <c r="F15" s="14" t="n">
        <f aca="false">D15*E15</f>
        <v>3</v>
      </c>
      <c r="G15" s="13" t="s">
        <v>108</v>
      </c>
      <c r="H15" s="13" t="s">
        <v>109</v>
      </c>
      <c r="I15" s="15" t="s">
        <v>110</v>
      </c>
    </row>
    <row r="16" customFormat="false" ht="34.5" hidden="false" customHeight="true" outlineLevel="0" collapsed="false">
      <c r="A16" s="13" t="s">
        <v>111</v>
      </c>
      <c r="B16" s="13" t="s">
        <v>112</v>
      </c>
      <c r="C16" s="13" t="s">
        <v>113</v>
      </c>
      <c r="D16" s="13" t="n">
        <v>1</v>
      </c>
      <c r="E16" s="13" t="n">
        <v>2</v>
      </c>
      <c r="F16" s="14" t="n">
        <f aca="false">D16*E16</f>
        <v>2</v>
      </c>
      <c r="G16" s="13" t="s">
        <v>114</v>
      </c>
      <c r="H16" s="13" t="s">
        <v>115</v>
      </c>
      <c r="I16" s="15" t="s">
        <v>82</v>
      </c>
    </row>
    <row r="18" customFormat="false" ht="15" hidden="false" customHeight="true" outlineLevel="0" collapsed="false">
      <c r="A18" s="10" t="s">
        <v>116</v>
      </c>
    </row>
    <row r="19" customFormat="false" ht="15" hidden="false" customHeight="true" outlineLevel="0" collapsed="false">
      <c r="A19" s="10" t="s">
        <v>117</v>
      </c>
    </row>
    <row r="20" customFormat="false" ht="15" hidden="false" customHeight="true" outlineLevel="0" collapsed="false">
      <c r="A20" s="10" t="s">
        <v>118</v>
      </c>
    </row>
  </sheetData>
  <conditionalFormatting sqref="F2:F16">
    <cfRule type="cellIs" priority="2" operator="greaterThanOrEqual" aboveAverage="0" equalAverage="0" bottom="0" percent="0" rank="0" text="" dxfId="0">
      <formula>6</formula>
    </cfRule>
    <cfRule type="cellIs" priority="3" operator="between" aboveAverage="0" equalAverage="0" bottom="0" percent="0" rank="0" text="" dxfId="1">
      <formula>3</formula>
      <formula>5</formula>
    </cfRule>
    <cfRule type="cellIs" priority="4" operator="lessThanOrEqual" aboveAverage="0" equalAverage="0" bottom="0" percent="0" rank="0" text="" dxfId="2">
      <formula>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46"/>
    <col collapsed="false" customWidth="true" hidden="false" outlineLevel="0" max="3" min="3" style="1" width="14"/>
    <col collapsed="false" customWidth="true" hidden="false" outlineLevel="0" max="4" min="4" style="1" width="16"/>
    <col collapsed="false" customWidth="true" hidden="false" outlineLevel="0" max="5" min="5" style="1" width="46"/>
  </cols>
  <sheetData>
    <row r="1" customFormat="false" ht="30" hidden="false" customHeight="true" outlineLevel="0" collapsed="false">
      <c r="A1" s="12" t="s">
        <v>119</v>
      </c>
      <c r="B1" s="12" t="s">
        <v>120</v>
      </c>
      <c r="C1" s="12" t="s">
        <v>121</v>
      </c>
      <c r="D1" s="12" t="s">
        <v>122</v>
      </c>
      <c r="E1" s="12" t="s">
        <v>123</v>
      </c>
    </row>
    <row r="2" customFormat="false" ht="34.5" hidden="false" customHeight="true" outlineLevel="0" collapsed="false">
      <c r="A2" s="16" t="s">
        <v>124</v>
      </c>
      <c r="B2" s="13" t="s">
        <v>125</v>
      </c>
      <c r="C2" s="17" t="s">
        <v>126</v>
      </c>
      <c r="D2" s="13" t="s">
        <v>127</v>
      </c>
      <c r="E2" s="13" t="s">
        <v>128</v>
      </c>
    </row>
    <row r="3" customFormat="false" ht="34.5" hidden="false" customHeight="true" outlineLevel="0" collapsed="false">
      <c r="A3" s="16" t="s">
        <v>129</v>
      </c>
      <c r="B3" s="13" t="s">
        <v>130</v>
      </c>
      <c r="C3" s="18" t="s">
        <v>131</v>
      </c>
      <c r="D3" s="13" t="s">
        <v>67</v>
      </c>
      <c r="E3" s="13" t="s">
        <v>132</v>
      </c>
    </row>
    <row r="4" customFormat="false" ht="34.5" hidden="false" customHeight="true" outlineLevel="0" collapsed="false">
      <c r="A4" s="16" t="s">
        <v>133</v>
      </c>
      <c r="B4" s="13" t="s">
        <v>134</v>
      </c>
      <c r="C4" s="18" t="s">
        <v>131</v>
      </c>
      <c r="D4" s="13" t="s">
        <v>73</v>
      </c>
      <c r="E4" s="13" t="s">
        <v>135</v>
      </c>
    </row>
    <row r="5" customFormat="false" ht="34.5" hidden="false" customHeight="true" outlineLevel="0" collapsed="false">
      <c r="A5" s="16" t="s">
        <v>136</v>
      </c>
      <c r="B5" s="13" t="s">
        <v>137</v>
      </c>
      <c r="C5" s="18" t="s">
        <v>131</v>
      </c>
      <c r="D5" s="13" t="s">
        <v>106</v>
      </c>
      <c r="E5" s="13" t="s">
        <v>138</v>
      </c>
    </row>
    <row r="6" customFormat="false" ht="34.5" hidden="false" customHeight="true" outlineLevel="0" collapsed="false">
      <c r="A6" s="16" t="s">
        <v>139</v>
      </c>
      <c r="B6" s="13" t="s">
        <v>140</v>
      </c>
      <c r="C6" s="17" t="s">
        <v>126</v>
      </c>
      <c r="D6" s="13" t="s">
        <v>51</v>
      </c>
      <c r="E6" s="13" t="s">
        <v>141</v>
      </c>
    </row>
    <row r="7" customFormat="false" ht="34.5" hidden="false" customHeight="true" outlineLevel="0" collapsed="false">
      <c r="A7" s="16" t="s">
        <v>142</v>
      </c>
      <c r="B7" s="13" t="s">
        <v>143</v>
      </c>
      <c r="C7" s="18" t="s">
        <v>131</v>
      </c>
      <c r="D7" s="13" t="s">
        <v>96</v>
      </c>
      <c r="E7" s="13" t="s">
        <v>144</v>
      </c>
    </row>
    <row r="8" customFormat="false" ht="34.5" hidden="false" customHeight="true" outlineLevel="0" collapsed="false">
      <c r="A8" s="16" t="s">
        <v>145</v>
      </c>
      <c r="B8" s="13" t="s">
        <v>146</v>
      </c>
      <c r="C8" s="17" t="s">
        <v>126</v>
      </c>
      <c r="D8" s="13" t="s">
        <v>67</v>
      </c>
      <c r="E8" s="13" t="s">
        <v>147</v>
      </c>
    </row>
    <row r="9" customFormat="false" ht="34.5" hidden="false" customHeight="true" outlineLevel="0" collapsed="false">
      <c r="A9" s="16" t="s">
        <v>148</v>
      </c>
      <c r="B9" s="13" t="s">
        <v>149</v>
      </c>
      <c r="C9" s="18" t="s">
        <v>131</v>
      </c>
      <c r="D9" s="13" t="s">
        <v>62</v>
      </c>
      <c r="E9" s="13" t="s">
        <v>150</v>
      </c>
    </row>
    <row r="10" customFormat="false" ht="34.5" hidden="false" customHeight="true" outlineLevel="0" collapsed="false">
      <c r="A10" s="16" t="s">
        <v>151</v>
      </c>
      <c r="B10" s="13" t="s">
        <v>152</v>
      </c>
      <c r="C10" s="18" t="s">
        <v>131</v>
      </c>
      <c r="D10" s="13" t="s">
        <v>153</v>
      </c>
      <c r="E10" s="13" t="s">
        <v>154</v>
      </c>
    </row>
    <row r="11" customFormat="false" ht="34.5" hidden="false" customHeight="true" outlineLevel="0" collapsed="false">
      <c r="A11" s="16" t="s">
        <v>155</v>
      </c>
      <c r="B11" s="13" t="s">
        <v>156</v>
      </c>
      <c r="C11" s="17" t="s">
        <v>126</v>
      </c>
      <c r="D11" s="13" t="s">
        <v>78</v>
      </c>
      <c r="E11" s="13" t="s">
        <v>157</v>
      </c>
    </row>
    <row r="12" customFormat="false" ht="21" hidden="false" customHeight="true" outlineLevel="0" collapsed="false">
      <c r="A12" s="16" t="s">
        <v>158</v>
      </c>
      <c r="B12" s="13" t="s">
        <v>159</v>
      </c>
      <c r="C12" s="18" t="s">
        <v>131</v>
      </c>
      <c r="D12" s="13" t="s">
        <v>111</v>
      </c>
      <c r="E12" s="13" t="s">
        <v>160</v>
      </c>
    </row>
    <row r="13" customFormat="false" ht="34.5" hidden="false" customHeight="true" outlineLevel="0" collapsed="false">
      <c r="A13" s="16" t="s">
        <v>161</v>
      </c>
      <c r="B13" s="13" t="s">
        <v>162</v>
      </c>
      <c r="C13" s="17" t="s">
        <v>126</v>
      </c>
      <c r="D13" s="13" t="s">
        <v>73</v>
      </c>
      <c r="E13" s="13" t="s">
        <v>163</v>
      </c>
    </row>
    <row r="14" customFormat="false" ht="34.5" hidden="false" customHeight="true" outlineLevel="0" collapsed="false">
      <c r="A14" s="16" t="s">
        <v>164</v>
      </c>
      <c r="B14" s="13" t="s">
        <v>165</v>
      </c>
      <c r="C14" s="17" t="s">
        <v>126</v>
      </c>
      <c r="D14" s="13" t="s">
        <v>46</v>
      </c>
      <c r="E14" s="13" t="s">
        <v>166</v>
      </c>
    </row>
    <row r="15" customFormat="false" ht="34.5" hidden="false" customHeight="true" outlineLevel="0" collapsed="false">
      <c r="A15" s="16" t="s">
        <v>167</v>
      </c>
      <c r="B15" s="13" t="s">
        <v>168</v>
      </c>
      <c r="C15" s="17" t="s">
        <v>126</v>
      </c>
      <c r="D15" s="13" t="s">
        <v>40</v>
      </c>
      <c r="E15" s="13" t="s">
        <v>169</v>
      </c>
    </row>
    <row r="16" customFormat="false" ht="34.5" hidden="false" customHeight="true" outlineLevel="0" collapsed="false">
      <c r="A16" s="16" t="s">
        <v>170</v>
      </c>
      <c r="B16" s="13" t="s">
        <v>171</v>
      </c>
      <c r="C16" s="17" t="s">
        <v>126</v>
      </c>
      <c r="D16" s="13" t="s">
        <v>106</v>
      </c>
      <c r="E16" s="13" t="s">
        <v>172</v>
      </c>
    </row>
    <row r="17" customFormat="false" ht="34.5" hidden="false" customHeight="true" outlineLevel="0" collapsed="false">
      <c r="A17" s="16" t="s">
        <v>173</v>
      </c>
      <c r="B17" s="13" t="s">
        <v>174</v>
      </c>
      <c r="C17" s="18" t="s">
        <v>131</v>
      </c>
      <c r="D17" s="13" t="s">
        <v>175</v>
      </c>
      <c r="E17" s="13" t="s">
        <v>176</v>
      </c>
    </row>
    <row r="18" customFormat="false" ht="21" hidden="false" customHeight="true" outlineLevel="0" collapsed="false">
      <c r="A18" s="16" t="s">
        <v>177</v>
      </c>
      <c r="B18" s="13" t="s">
        <v>178</v>
      </c>
      <c r="C18" s="17" t="s">
        <v>126</v>
      </c>
      <c r="D18" s="13" t="s">
        <v>91</v>
      </c>
      <c r="E18" s="13" t="s">
        <v>179</v>
      </c>
    </row>
    <row r="19" customFormat="false" ht="15" hidden="false" customHeight="false" outlineLevel="0" collapsed="false">
      <c r="A19" s="19"/>
      <c r="B19" s="20"/>
      <c r="C19" s="19"/>
      <c r="D19" s="20"/>
      <c r="E19" s="20"/>
    </row>
    <row r="20" customFormat="false" ht="46.25" hidden="false" customHeight="false" outlineLevel="0" collapsed="false">
      <c r="A20" s="21" t="s">
        <v>180</v>
      </c>
      <c r="B20" s="20"/>
      <c r="C20" s="19"/>
      <c r="D20" s="20"/>
      <c r="E20" s="20"/>
    </row>
    <row r="21" customFormat="false" ht="15" hidden="false" customHeight="false" outlineLevel="0" collapsed="false">
      <c r="A21" s="22" t="s">
        <v>181</v>
      </c>
      <c r="B21" s="23"/>
      <c r="C21" s="23"/>
      <c r="D21" s="23"/>
      <c r="E21" s="23"/>
    </row>
    <row r="22" customFormat="false" ht="15" hidden="false" customHeight="false" outlineLevel="0" collapsed="false">
      <c r="A22" s="24" t="s">
        <v>182</v>
      </c>
      <c r="B22" s="23"/>
      <c r="C22" s="23"/>
      <c r="D22" s="23"/>
      <c r="E22" s="23"/>
    </row>
    <row r="23" customFormat="false" ht="15" hidden="false" customHeight="false" outlineLevel="0" collapsed="false">
      <c r="A23" s="24"/>
      <c r="B23" s="23"/>
      <c r="C23" s="23"/>
      <c r="D23" s="23"/>
      <c r="E23" s="23"/>
    </row>
    <row r="24" customFormat="false" ht="15" hidden="false" customHeight="false" outlineLevel="0" collapsed="false">
      <c r="A24" s="23"/>
      <c r="B24" s="23"/>
      <c r="C24" s="23"/>
      <c r="D24" s="23"/>
      <c r="E24" s="23"/>
    </row>
    <row r="25" customFormat="false" ht="15" hidden="false" customHeight="false" outlineLevel="0" collapsed="false">
      <c r="A25" s="23"/>
      <c r="B25" s="23"/>
      <c r="C25" s="23"/>
      <c r="D25" s="23"/>
      <c r="E25" s="23"/>
    </row>
    <row r="26" customFormat="false" ht="15" hidden="false" customHeight="false" outlineLevel="0" collapsed="false">
      <c r="A26" s="23"/>
      <c r="B26" s="23"/>
      <c r="C26" s="23"/>
      <c r="D26" s="23"/>
      <c r="E26" s="23"/>
    </row>
    <row r="27" customFormat="false" ht="15" hidden="false" customHeight="false" outlineLevel="0" collapsed="false">
      <c r="A27" s="23"/>
      <c r="B27" s="23"/>
      <c r="C27" s="23"/>
      <c r="D27" s="23"/>
      <c r="E27" s="23"/>
    </row>
    <row r="28" customFormat="false" ht="15" hidden="false" customHeight="false" outlineLevel="0" collapsed="false">
      <c r="A28" s="23"/>
      <c r="B28" s="23"/>
      <c r="C28" s="23"/>
      <c r="D28" s="23"/>
      <c r="E28" s="23"/>
    </row>
    <row r="29" customFormat="false" ht="15" hidden="false" customHeight="false" outlineLevel="0" collapsed="false">
      <c r="A29" s="23"/>
      <c r="B29" s="23"/>
      <c r="C29" s="23"/>
      <c r="D29" s="23"/>
      <c r="E29" s="23"/>
    </row>
    <row r="30" customFormat="false" ht="15" hidden="false" customHeight="false" outlineLevel="0" collapsed="false">
      <c r="A30" s="23"/>
      <c r="B30" s="23"/>
      <c r="C30" s="23"/>
      <c r="D30" s="23"/>
      <c r="E30" s="23"/>
    </row>
    <row r="31" customFormat="false" ht="15" hidden="false" customHeight="false" outlineLevel="0" collapsed="false">
      <c r="A31" s="23"/>
      <c r="B31" s="23"/>
      <c r="C31" s="23"/>
      <c r="D31" s="23"/>
      <c r="E31" s="23"/>
    </row>
    <row r="32" customFormat="false" ht="15" hidden="false" customHeight="false" outlineLevel="0" collapsed="false">
      <c r="A32" s="23"/>
      <c r="B32" s="23"/>
      <c r="C32" s="23"/>
      <c r="D32" s="23"/>
      <c r="E32" s="23"/>
    </row>
    <row r="33" customFormat="false" ht="15" hidden="false" customHeight="false" outlineLevel="0" collapsed="false">
      <c r="A33" s="23"/>
      <c r="B33" s="23"/>
      <c r="C33" s="23"/>
      <c r="D33" s="23"/>
      <c r="E33" s="23"/>
    </row>
    <row r="34" customFormat="false" ht="15" hidden="false" customHeight="false" outlineLevel="0" collapsed="false">
      <c r="A34" s="23"/>
      <c r="B34" s="23"/>
      <c r="C34" s="23"/>
      <c r="D34" s="23"/>
      <c r="E34" s="23"/>
    </row>
    <row r="35" customFormat="false" ht="15" hidden="false" customHeight="false" outlineLevel="0" collapsed="false">
      <c r="A35" s="23"/>
      <c r="B35" s="23"/>
      <c r="C35" s="23"/>
      <c r="D35" s="23"/>
      <c r="E35" s="23"/>
    </row>
    <row r="36" customFormat="false" ht="15" hidden="false" customHeight="false" outlineLevel="0" collapsed="false">
      <c r="A36" s="23"/>
      <c r="B36" s="23"/>
      <c r="C36" s="23"/>
      <c r="D36" s="23"/>
      <c r="E36" s="23"/>
    </row>
    <row r="37" customFormat="false" ht="15" hidden="false" customHeight="false" outlineLevel="0" collapsed="false">
      <c r="A37" s="23"/>
      <c r="B37" s="23"/>
      <c r="C37" s="23"/>
      <c r="D37" s="23"/>
      <c r="E37" s="23"/>
    </row>
    <row r="38" customFormat="false" ht="15" hidden="false" customHeight="false" outlineLevel="0" collapsed="false">
      <c r="A38" s="23"/>
      <c r="B38" s="23"/>
      <c r="C38" s="23"/>
      <c r="D38" s="23"/>
      <c r="E38" s="23"/>
    </row>
    <row r="39" customFormat="false" ht="15" hidden="false" customHeight="false" outlineLevel="0" collapsed="false">
      <c r="A39" s="23"/>
      <c r="B39" s="23"/>
      <c r="C39" s="23"/>
      <c r="D39" s="23"/>
      <c r="E39" s="23"/>
    </row>
    <row r="40" customFormat="false" ht="15" hidden="false" customHeight="false" outlineLevel="0" collapsed="false">
      <c r="A40" s="23"/>
      <c r="B40" s="23"/>
      <c r="C40" s="23"/>
      <c r="D40" s="23"/>
      <c r="E40" s="2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0"/>
  </cols>
  <sheetData>
    <row r="1" customFormat="false" ht="19.7" hidden="false" customHeight="false" outlineLevel="0" collapsed="false">
      <c r="A1" s="2" t="s">
        <v>183</v>
      </c>
    </row>
    <row r="2" customFormat="false" ht="17.25" hidden="false" customHeight="true" outlineLevel="0" collapsed="false">
      <c r="A2" s="3" t="s">
        <v>184</v>
      </c>
    </row>
    <row r="3" customFormat="false" ht="15" hidden="false" customHeight="false" outlineLevel="0" collapsed="false">
      <c r="A3" s="4"/>
    </row>
    <row r="4" customFormat="false" ht="15" hidden="false" customHeight="false" outlineLevel="0" collapsed="false">
      <c r="A4" s="5" t="s">
        <v>185</v>
      </c>
    </row>
    <row r="5" customFormat="false" ht="84.75" hidden="false" customHeight="true" outlineLevel="0" collapsed="false">
      <c r="A5" s="4" t="s">
        <v>186</v>
      </c>
    </row>
    <row r="6" customFormat="false" ht="15" hidden="false" customHeight="false" outlineLevel="0" collapsed="false">
      <c r="A6" s="4"/>
    </row>
    <row r="7" customFormat="false" ht="15" hidden="false" customHeight="false" outlineLevel="0" collapsed="false">
      <c r="A7" s="5" t="s">
        <v>187</v>
      </c>
    </row>
    <row r="8" customFormat="false" ht="27.75" hidden="false" customHeight="true" outlineLevel="0" collapsed="false">
      <c r="A8" s="4" t="str">
        <f aca="false">COUNTA('Risk Register'!A2:A16)&amp;" risks were identified across "&amp;ROUND(SUMPRODUCT(1/COUNTIF('Risk Register'!C2:C16,'Risk Register'!C2:C16)),0)&amp;" categories, and "&amp;COUNTIF('Risk Register'!F2:F16,"&gt;=6")&amp;" of them are rated High (Risk Score 6-9). Only "&amp;COUNTIF('Risk Register'!F2:F16,"&lt;=2")&amp;" is rated Low."</f>
        <v>15 risks were identified across 12 categories, and 8 of them are rated High (Risk Score 6-9). Only 1 is rated Low.</v>
      </c>
    </row>
    <row r="9" customFormat="false" ht="27.75" hidden="false" customHeight="true" outlineLevel="0" collapsed="false">
      <c r="A9" s="4" t="str">
        <f aca="false">"Of the "&amp;COUNTA('Gap Analysis'!A2:A18)&amp;" ISO 27001 controls reviewed, "&amp;COUNTIF('Gap Analysis'!C2:C18,"Missing")&amp;" are missing and "&amp;COUNTIF('Gap Analysis'!C2:C18,"Partial")&amp;" are only partly in place. NYRA has no formal security program to build on yet."</f>
        <v>Of the 17 ISO 27001 controls reviewed, 9 are missing and 8 are only partly in place. NYRA has no formal security program to build on yet.</v>
      </c>
    </row>
    <row r="10" customFormat="false" ht="71.25" hidden="false" customHeight="true" outlineLevel="0" collapsed="false">
      <c r="A10" s="4" t="s">
        <v>188</v>
      </c>
    </row>
    <row r="11" customFormat="false" ht="15" hidden="false" customHeight="false" outlineLevel="0" collapsed="false">
      <c r="A11" s="4"/>
    </row>
    <row r="12" customFormat="false" ht="15" hidden="false" customHeight="false" outlineLevel="0" collapsed="false">
      <c r="A12" s="5" t="s">
        <v>189</v>
      </c>
    </row>
    <row r="13" customFormat="false" ht="30.75" hidden="false" customHeight="true" outlineLevel="0" collapsed="false">
      <c r="A13" s="4" t="s">
        <v>190</v>
      </c>
    </row>
    <row r="14" customFormat="false" ht="30.75" hidden="false" customHeight="true" outlineLevel="0" collapsed="false">
      <c r="A14" s="4" t="s">
        <v>191</v>
      </c>
    </row>
    <row r="15" customFormat="false" ht="30.75" hidden="false" customHeight="true" outlineLevel="0" collapsed="false">
      <c r="A15" s="4" t="s">
        <v>192</v>
      </c>
    </row>
    <row r="16" customFormat="false" ht="30.75" hidden="false" customHeight="true" outlineLevel="0" collapsed="false">
      <c r="A16" s="4" t="s">
        <v>193</v>
      </c>
    </row>
    <row r="17" customFormat="false" ht="30.75" hidden="false" customHeight="true" outlineLevel="0" collapsed="false">
      <c r="A17" s="4" t="s">
        <v>194</v>
      </c>
    </row>
    <row r="18" customFormat="false" ht="15" hidden="false" customHeight="false" outlineLevel="0" collapsed="false">
      <c r="A18" s="4"/>
    </row>
    <row r="19" customFormat="false" ht="15" hidden="false" customHeight="false" outlineLevel="0" collapsed="false">
      <c r="A19" s="5" t="s">
        <v>195</v>
      </c>
    </row>
    <row r="20" customFormat="false" ht="57.75" hidden="false" customHeight="true" outlineLevel="0" collapsed="false">
      <c r="A20" s="4" t="s">
        <v>196</v>
      </c>
    </row>
    <row r="21" customFormat="false" ht="15" hidden="false" customHeight="false" outlineLevel="0" collapsed="false">
      <c r="A21" s="4"/>
    </row>
    <row r="22" customFormat="false" ht="30.75" hidden="false" customHeight="true" outlineLevel="0" collapsed="false">
      <c r="A22" s="3" t="s">
        <v>197</v>
      </c>
    </row>
    <row r="23" customFormat="false" ht="15" hidden="false" customHeight="false" outlineLevel="0" collapsed="false">
      <c r="A23" s="4"/>
    </row>
    <row r="24" customFormat="false" ht="15" hidden="false" customHeight="false" outlineLevel="0" collapsed="false">
      <c r="A24" s="4"/>
    </row>
    <row r="26" customFormat="false" ht="15" hidden="false" customHeight="false" outlineLevel="0" collapsed="false">
      <c r="A26"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2026-08-13T11:21:04Z</dcterms:created>
  <dc:creator>openpyxl</dc:creator>
  <dc:description/>
  <dc:language>en-US</dc:language>
  <cp:lastModifiedBy/>
  <dcterms:modified xsi:type="dcterms:W3CDTF">2026-09-28T11:02:19Z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